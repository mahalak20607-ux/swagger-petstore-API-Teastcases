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Cases'!$A$1:$J$39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<sst xmlns="http://schemas.openxmlformats.org/spreadsheetml/2006/main" count="361" uniqueCount="171">
  <si>
    <t xml:space="preserve">Test Case ID</t>
  </si>
  <si>
    <t xml:space="preserve">API Name</t>
  </si>
  <si>
    <t xml:space="preserve">HTTP Method</t>
  </si>
  <si>
    <t xml:space="preserve">Endpoint</t>
  </si>
  <si>
    <t xml:space="preserve">Test Type</t>
  </si>
  <si>
    <t xml:space="preserve">Description</t>
  </si>
  <si>
    <t xml:space="preserve">Request Headers</t>
  </si>
  <si>
    <t xml:space="preserve">Request Body / Parameters</t>
  </si>
  <si>
    <t xml:space="preserve">Expected Status Code</t>
  </si>
  <si>
    <t xml:space="preserve">Expected Response</t>
  </si>
  <si>
    <t xml:space="preserve">TC-PET-001</t>
  </si>
  <si>
    <t xml:space="preserve">Pet API</t>
  </si>
  <si>
    <t xml:space="preserve">POST</t>
  </si>
  <si>
    <t xml:space="preserve">/pet</t>
  </si>
  <si>
    <t xml:space="preserve">Positive</t>
  </si>
  <si>
    <t xml:space="preserve">Add a new pet with valid id, name and status</t>
  </si>
  <si>
    <t xml:space="preserve">Content-Type: application/json</t>
  </si>
  <si>
    <t xml:space="preserve">{"id": 101, "name": "Tommy", "status": "available"}</t>
  </si>
  <si>
    <t xml:space="preserve">Pet is created and the same pet details are returned</t>
  </si>
  <si>
    <t xml:space="preserve">TC-PET-002</t>
  </si>
  <si>
    <t xml:space="preserve">Add a pet with category, photoUrls and tags</t>
  </si>
  <si>
    <t xml:space="preserve">{"id": 102, "name": "Bruno", "category": {"id": 1, "name": "Dogs"}, "photoUrls": ["string"], "tags": [{"id": 1, "name": "friendly"}], "status": "available"}</t>
  </si>
  <si>
    <t xml:space="preserve">Pet is created with all supplied fields returned</t>
  </si>
  <si>
    <t xml:space="preserve">TC-PET-003</t>
  </si>
  <si>
    <t xml:space="preserve">Negative</t>
  </si>
  <si>
    <t xml:space="preserve">Add a pet without the required name field</t>
  </si>
  <si>
    <t xml:space="preserve">{"id": 103, "status": "available"}</t>
  </si>
  <si>
    <t xml:space="preserve">Invalid input error as per Swagger documentation</t>
  </si>
  <si>
    <t xml:space="preserve">TC-PET-004</t>
  </si>
  <si>
    <t xml:space="preserve">Add a pet with malformed JSON body</t>
  </si>
  <si>
    <t xml:space="preserve">{"id": 104, "name": </t>
  </si>
  <si>
    <t xml:space="preserve">Bad request error is returned</t>
  </si>
  <si>
    <t xml:space="preserve">TC-PET-005</t>
  </si>
  <si>
    <t xml:space="preserve">PUT</t>
  </si>
  <si>
    <t xml:space="preserve">Update name and status of an existing pet</t>
  </si>
  <si>
    <t xml:space="preserve">{"id": 101, "name": "Tommy Updated", "status": "sold"}</t>
  </si>
  <si>
    <t xml:space="preserve">Pet is updated and the new values are returned</t>
  </si>
  <si>
    <t xml:space="preserve">TC-PET-006</t>
  </si>
  <si>
    <t xml:space="preserve">Update a pet whose id does not exist</t>
  </si>
  <si>
    <t xml:space="preserve">{"id": 999999999, "name": "Ghost", "status": "available"}</t>
  </si>
  <si>
    <t xml:space="preserve">Pet not found error is returned</t>
  </si>
  <si>
    <t xml:space="preserve">TC-PET-007</t>
  </si>
  <si>
    <t xml:space="preserve">GET</t>
  </si>
  <si>
    <t xml:space="preserve">/pet/{petId}</t>
  </si>
  <si>
    <t xml:space="preserve">Retrieve a pet using a valid pet id (101)</t>
  </si>
  <si>
    <t xml:space="preserve">N/A</t>
  </si>
  <si>
    <t xml:space="preserve">Details of pet 101 are returned</t>
  </si>
  <si>
    <t xml:space="preserve">TC-PET-008</t>
  </si>
  <si>
    <t xml:space="preserve">Retrieve a pet using an id that does not exist</t>
  </si>
  <si>
    <t xml:space="preserve">TC-PET-009</t>
  </si>
  <si>
    <t xml:space="preserve">Retrieve a pet using a non-numeric id (abc)</t>
  </si>
  <si>
    <t xml:space="preserve">Invalid ID supplied error is returned</t>
  </si>
  <si>
    <t xml:space="preserve">TC-PET-010</t>
  </si>
  <si>
    <t xml:space="preserve">/pet/findByStatus</t>
  </si>
  <si>
    <t xml:space="preserve">Find pets with status = available</t>
  </si>
  <si>
    <t xml:space="preserve">Accept: application/json</t>
  </si>
  <si>
    <t xml:space="preserve">Query: status=available</t>
  </si>
  <si>
    <t xml:space="preserve">List of available pets is returned</t>
  </si>
  <si>
    <t xml:space="preserve">TC-PET-011</t>
  </si>
  <si>
    <t xml:space="preserve">Find pets with status = pending</t>
  </si>
  <si>
    <t xml:space="preserve">Query: status=pending</t>
  </si>
  <si>
    <t xml:space="preserve">List of pending pets is returned</t>
  </si>
  <si>
    <t xml:space="preserve">TC-PET-012</t>
  </si>
  <si>
    <t xml:space="preserve">Find pets with status = sold</t>
  </si>
  <si>
    <t xml:space="preserve">Query: status=sold</t>
  </si>
  <si>
    <t xml:space="preserve">List of sold pets is returned</t>
  </si>
  <si>
    <t xml:space="preserve">TC-PET-013</t>
  </si>
  <si>
    <t xml:space="preserve">Find pets using an invalid status value</t>
  </si>
  <si>
    <t xml:space="preserve">Query: status=unknown</t>
  </si>
  <si>
    <t xml:space="preserve">Invalid status value error is returned</t>
  </si>
  <si>
    <t xml:space="preserve">TC-PET-014</t>
  </si>
  <si>
    <t xml:space="preserve">/pet/findByTags</t>
  </si>
  <si>
    <t xml:space="preserve">Find pets using a tag</t>
  </si>
  <si>
    <t xml:space="preserve">Query: tags=friendly</t>
  </si>
  <si>
    <t xml:space="preserve">Pets having the tag are returned</t>
  </si>
  <si>
    <t xml:space="preserve">TC-PET-015</t>
  </si>
  <si>
    <t xml:space="preserve">Update pet name and status using form data</t>
  </si>
  <si>
    <t xml:space="preserve">Content-Type: application/x-www-form-urlencoded</t>
  </si>
  <si>
    <t xml:space="preserve">name=Tommy2&amp;status=pending</t>
  </si>
  <si>
    <t xml:space="preserve">Pet is updated successfully</t>
  </si>
  <si>
    <t xml:space="preserve">TC-PET-016</t>
  </si>
  <si>
    <t xml:space="preserve">DELETE</t>
  </si>
  <si>
    <t xml:space="preserve">Delete an existing pet (101)</t>
  </si>
  <si>
    <t xml:space="preserve">api_key: special-key</t>
  </si>
  <si>
    <t xml:space="preserve">Pet is deleted successfully</t>
  </si>
  <si>
    <t xml:space="preserve">TC-PET-017</t>
  </si>
  <si>
    <t xml:space="preserve">Delete a pet that does not exist</t>
  </si>
  <si>
    <t xml:space="preserve">TC-PET-018</t>
  </si>
  <si>
    <t xml:space="preserve">/pet/{petId}/uploadImage</t>
  </si>
  <si>
    <t xml:space="preserve">Upload an image for an existing pet</t>
  </si>
  <si>
    <t xml:space="preserve">Content-Type: multipart/form-data</t>
  </si>
  <si>
    <t xml:space="preserve">file: sample.jpg</t>
  </si>
  <si>
    <t xml:space="preserve">Image is uploaded and a confirmation message is returned</t>
  </si>
  <si>
    <t xml:space="preserve">TC-STORE-001</t>
  </si>
  <si>
    <t xml:space="preserve">Store API</t>
  </si>
  <si>
    <t xml:space="preserve">/store/order</t>
  </si>
  <si>
    <t xml:space="preserve">Place an order with valid details</t>
  </si>
  <si>
    <t xml:space="preserve">{"id": 5, "petId": 101, "quantity": 1, "shipDate": "2026-10-20T10:00:00.000Z", "status": "placed", "complete": true}</t>
  </si>
  <si>
    <t xml:space="preserve">Order is created and its details are returned</t>
  </si>
  <si>
    <t xml:space="preserve">TC-STORE-002</t>
  </si>
  <si>
    <t xml:space="preserve">Place an order with malformed JSON body</t>
  </si>
  <si>
    <t xml:space="preserve">{"id": 6, "petId": </t>
  </si>
  <si>
    <t xml:space="preserve">Invalid order error is returned</t>
  </si>
  <si>
    <t xml:space="preserve">TC-STORE-003</t>
  </si>
  <si>
    <t xml:space="preserve">/store/order/{orderId}</t>
  </si>
  <si>
    <t xml:space="preserve">Retrieve an order using a valid id (5)</t>
  </si>
  <si>
    <t xml:space="preserve">Details of order 5 are returned</t>
  </si>
  <si>
    <t xml:space="preserve">TC-STORE-004</t>
  </si>
  <si>
    <t xml:space="preserve">Retrieve an order that does not exist</t>
  </si>
  <si>
    <t xml:space="preserve">Order not found error is returned</t>
  </si>
  <si>
    <t xml:space="preserve">TC-STORE-005</t>
  </si>
  <si>
    <t xml:space="preserve">Retrieve an order using a non-numeric id (abc)</t>
  </si>
  <si>
    <t xml:space="preserve">TC-STORE-006</t>
  </si>
  <si>
    <t xml:space="preserve">Delete an existing order (5)</t>
  </si>
  <si>
    <t xml:space="preserve">Order is deleted successfully</t>
  </si>
  <si>
    <t xml:space="preserve">TC-STORE-007</t>
  </si>
  <si>
    <t xml:space="preserve">Delete an order that does not exist</t>
  </si>
  <si>
    <t xml:space="preserve">TC-STORE-008</t>
  </si>
  <si>
    <t xml:space="preserve">/store/inventory</t>
  </si>
  <si>
    <t xml:space="preserve">Get pet inventory grouped by status</t>
  </si>
  <si>
    <t xml:space="preserve">JSON map of status to quantity is returned</t>
  </si>
  <si>
    <t xml:space="preserve">TC-USER-001</t>
  </si>
  <si>
    <t xml:space="preserve">User API</t>
  </si>
  <si>
    <t xml:space="preserve">/user</t>
  </si>
  <si>
    <t xml:space="preserve">Create a user with valid details</t>
  </si>
  <si>
    <t xml:space="preserve">{"id": 201, "username": "mahalaks", "firstName": "Maha", "lastName": "S", "email": "maha@example.com", "password": "Test@123", "phone": "9999999999", "userStatus": 1}</t>
  </si>
  <si>
    <t xml:space="preserve">User is created successfully</t>
  </si>
  <si>
    <t xml:space="preserve">TC-USER-002</t>
  </si>
  <si>
    <t xml:space="preserve">/user/createWithArray</t>
  </si>
  <si>
    <t xml:space="preserve">Create multiple users using an array</t>
  </si>
  <si>
    <t xml:space="preserve">[{"id": 202, "username": "user202", "password": "Pass@123"}, {"id": 203, "username": "user203", "password": "Pass@123"}]</t>
  </si>
  <si>
    <t xml:space="preserve">All users are created successfully</t>
  </si>
  <si>
    <t xml:space="preserve">TC-USER-003</t>
  </si>
  <si>
    <t xml:space="preserve">/user/createWithList</t>
  </si>
  <si>
    <t xml:space="preserve">Create multiple users using a list</t>
  </si>
  <si>
    <t xml:space="preserve">[{"id": 204, "username": "user204", "password": "Pass@123"}, {"id": 205, "username": "user205", "password": "Pass@123"}]</t>
  </si>
  <si>
    <t xml:space="preserve">TC-USER-004</t>
  </si>
  <si>
    <t xml:space="preserve">/user/login</t>
  </si>
  <si>
    <t xml:space="preserve">Login with valid username and password</t>
  </si>
  <si>
    <t xml:space="preserve">Query: username=mahalaks&amp;password=Test@123</t>
  </si>
  <si>
    <t xml:space="preserve">Login succeeds and a session token message is returned</t>
  </si>
  <si>
    <t xml:space="preserve">TC-USER-005</t>
  </si>
  <si>
    <t xml:space="preserve">Login with missing password</t>
  </si>
  <si>
    <t xml:space="preserve">Query: username=mahalaks</t>
  </si>
  <si>
    <t xml:space="preserve">Invalid username/password error is returned</t>
  </si>
  <si>
    <t xml:space="preserve">TC-USER-006</t>
  </si>
  <si>
    <t xml:space="preserve">/user/logout</t>
  </si>
  <si>
    <t xml:space="preserve">Logout the current user session</t>
  </si>
  <si>
    <t xml:space="preserve">User is logged out successfully</t>
  </si>
  <si>
    <t xml:space="preserve">TC-USER-007</t>
  </si>
  <si>
    <t xml:space="preserve">/user/{username}</t>
  </si>
  <si>
    <t xml:space="preserve">Retrieve a user using a valid username</t>
  </si>
  <si>
    <t xml:space="preserve">Details of the user are returned</t>
  </si>
  <si>
    <t xml:space="preserve">TC-USER-008</t>
  </si>
  <si>
    <t xml:space="preserve">Retrieve a user that does not exist</t>
  </si>
  <si>
    <t xml:space="preserve">User not found error is returned</t>
  </si>
  <si>
    <t xml:space="preserve">TC-USER-009</t>
  </si>
  <si>
    <t xml:space="preserve">Update details of an existing user</t>
  </si>
  <si>
    <t xml:space="preserve">{"id": 201, "username": "mahalaks", "firstName": "Mahalakshmi", "email": "mahalakshmi@example.com"}</t>
  </si>
  <si>
    <t xml:space="preserve">User is updated successfully</t>
  </si>
  <si>
    <t xml:space="preserve">TC-USER-010</t>
  </si>
  <si>
    <t xml:space="preserve">Update a user that does not exist</t>
  </si>
  <si>
    <t xml:space="preserve">{"id": 9999, "username": "nouser"}</t>
  </si>
  <si>
    <t xml:space="preserve">TC-USER-011</t>
  </si>
  <si>
    <t xml:space="preserve">Delete an existing user</t>
  </si>
  <si>
    <t xml:space="preserve">User is deleted successfully</t>
  </si>
  <si>
    <t xml:space="preserve">TC-USER-012</t>
  </si>
  <si>
    <t xml:space="preserve">Delete a user that does not exist</t>
  </si>
  <si>
    <t xml:space="preserve">Note: Only the test design and expected results are documented here. Execute each case in Swagger UI (https://petstore.swagger.io/) and record actual results separately.</t>
  </si>
  <si>
    <t xml:space="preserve">API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</si>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</sst>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42"/>
    <col collapsed="false" customWidth="true" hidden="false" outlineLevel="0" max="7" min="7" style="0" width="34"/>
    <col collapsed="false" customWidth="true" hidden="false" outlineLevel="0" max="8" min="8" style="0" width="48"/>
    <col collapsed="false" customWidth="true" hidden="false" outlineLevel="0" max="9" min="9" style="0" width="14"/>
    <col collapsed="false" customWidth="true" hidden="false" outlineLevel="0" max="10" min="10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2" t="n">
        <v>200</v>
      </c>
      <c r="J2" s="3" t="s">
        <v>18</v>
      </c>
    </row>
    <row r="3" customFormat="false" ht="35.05" hidden="false" customHeight="false" outlineLevel="0" collapsed="false">
      <c r="A3" s="2" t="s">
        <v>19</v>
      </c>
      <c r="B3" s="3" t="s">
        <v>11</v>
      </c>
      <c r="C3" s="2" t="s">
        <v>12</v>
      </c>
      <c r="D3" s="3" t="s">
        <v>13</v>
      </c>
      <c r="E3" s="4" t="s">
        <v>14</v>
      </c>
      <c r="F3" s="3" t="s">
        <v>20</v>
      </c>
      <c r="G3" s="3" t="s">
        <v>16</v>
      </c>
      <c r="H3" s="3" t="s">
        <v>21</v>
      </c>
      <c r="I3" s="2" t="n">
        <v>200</v>
      </c>
      <c r="J3" s="3" t="s">
        <v>22</v>
      </c>
    </row>
    <row r="4" customFormat="false" ht="15" hidden="false" customHeight="false" outlineLevel="0" collapsed="false">
      <c r="A4" s="2" t="s">
        <v>23</v>
      </c>
      <c r="B4" s="3" t="s">
        <v>11</v>
      </c>
      <c r="C4" s="2" t="s">
        <v>12</v>
      </c>
      <c r="D4" s="3" t="s">
        <v>13</v>
      </c>
      <c r="E4" s="5" t="s">
        <v>24</v>
      </c>
      <c r="F4" s="3" t="s">
        <v>25</v>
      </c>
      <c r="G4" s="3" t="s">
        <v>16</v>
      </c>
      <c r="H4" s="3" t="s">
        <v>26</v>
      </c>
      <c r="I4" s="2" t="n">
        <v>405</v>
      </c>
      <c r="J4" s="3" t="s">
        <v>27</v>
      </c>
    </row>
    <row r="5" customFormat="false" ht="15" hidden="false" customHeight="false" outlineLevel="0" collapsed="false">
      <c r="A5" s="2" t="s">
        <v>28</v>
      </c>
      <c r="B5" s="3" t="s">
        <v>11</v>
      </c>
      <c r="C5" s="2" t="s">
        <v>12</v>
      </c>
      <c r="D5" s="3" t="s">
        <v>13</v>
      </c>
      <c r="E5" s="5" t="s">
        <v>24</v>
      </c>
      <c r="F5" s="3" t="s">
        <v>29</v>
      </c>
      <c r="G5" s="3" t="s">
        <v>16</v>
      </c>
      <c r="H5" s="3" t="s">
        <v>30</v>
      </c>
      <c r="I5" s="2" t="n">
        <v>400</v>
      </c>
      <c r="J5" s="3" t="s">
        <v>31</v>
      </c>
    </row>
    <row r="6" customFormat="false" ht="15" hidden="false" customHeight="false" outlineLevel="0" collapsed="false">
      <c r="A6" s="2" t="s">
        <v>32</v>
      </c>
      <c r="B6" s="3" t="s">
        <v>11</v>
      </c>
      <c r="C6" s="2" t="s">
        <v>33</v>
      </c>
      <c r="D6" s="3" t="s">
        <v>13</v>
      </c>
      <c r="E6" s="4" t="s">
        <v>14</v>
      </c>
      <c r="F6" s="3" t="s">
        <v>34</v>
      </c>
      <c r="G6" s="3" t="s">
        <v>16</v>
      </c>
      <c r="H6" s="3" t="s">
        <v>35</v>
      </c>
      <c r="I6" s="2" t="n">
        <v>200</v>
      </c>
      <c r="J6" s="3" t="s">
        <v>36</v>
      </c>
    </row>
    <row r="7" customFormat="false" ht="15" hidden="false" customHeight="false" outlineLevel="0" collapsed="false">
      <c r="A7" s="2" t="s">
        <v>37</v>
      </c>
      <c r="B7" s="3" t="s">
        <v>11</v>
      </c>
      <c r="C7" s="2" t="s">
        <v>33</v>
      </c>
      <c r="D7" s="3" t="s">
        <v>13</v>
      </c>
      <c r="E7" s="5" t="s">
        <v>24</v>
      </c>
      <c r="F7" s="3" t="s">
        <v>38</v>
      </c>
      <c r="G7" s="3" t="s">
        <v>16</v>
      </c>
      <c r="H7" s="3" t="s">
        <v>39</v>
      </c>
      <c r="I7" s="2" t="n">
        <v>404</v>
      </c>
      <c r="J7" s="3" t="s">
        <v>40</v>
      </c>
    </row>
    <row r="8" customFormat="false" ht="15" hidden="false" customHeight="false" outlineLevel="0" collapsed="false">
      <c r="A8" s="2" t="s">
        <v>41</v>
      </c>
      <c r="B8" s="3" t="s">
        <v>11</v>
      </c>
      <c r="C8" s="2" t="s">
        <v>42</v>
      </c>
      <c r="D8" s="3" t="s">
        <v>43</v>
      </c>
      <c r="E8" s="4" t="s">
        <v>14</v>
      </c>
      <c r="F8" s="3" t="s">
        <v>44</v>
      </c>
      <c r="G8" s="3" t="s">
        <v>45</v>
      </c>
      <c r="H8" s="3" t="s">
        <v>45</v>
      </c>
      <c r="I8" s="2" t="n">
        <v>200</v>
      </c>
      <c r="J8" s="3" t="s">
        <v>46</v>
      </c>
    </row>
    <row r="9" customFormat="false" ht="15" hidden="false" customHeight="false" outlineLevel="0" collapsed="false">
      <c r="A9" s="2" t="s">
        <v>47</v>
      </c>
      <c r="B9" s="3" t="s">
        <v>11</v>
      </c>
      <c r="C9" s="2" t="s">
        <v>42</v>
      </c>
      <c r="D9" s="3" t="s">
        <v>43</v>
      </c>
      <c r="E9" s="5" t="s">
        <v>24</v>
      </c>
      <c r="F9" s="3" t="s">
        <v>48</v>
      </c>
      <c r="G9" s="3" t="s">
        <v>45</v>
      </c>
      <c r="H9" s="3" t="s">
        <v>45</v>
      </c>
      <c r="I9" s="2" t="n">
        <v>404</v>
      </c>
      <c r="J9" s="3" t="s">
        <v>40</v>
      </c>
    </row>
    <row r="10" customFormat="false" ht="15" hidden="false" customHeight="false" outlineLevel="0" collapsed="false">
      <c r="A10" s="2" t="s">
        <v>49</v>
      </c>
      <c r="B10" s="3" t="s">
        <v>11</v>
      </c>
      <c r="C10" s="2" t="s">
        <v>42</v>
      </c>
      <c r="D10" s="3" t="s">
        <v>43</v>
      </c>
      <c r="E10" s="5" t="s">
        <v>24</v>
      </c>
      <c r="F10" s="3" t="s">
        <v>50</v>
      </c>
      <c r="G10" s="3" t="s">
        <v>45</v>
      </c>
      <c r="H10" s="3" t="s">
        <v>45</v>
      </c>
      <c r="I10" s="2" t="n">
        <v>400</v>
      </c>
      <c r="J10" s="3" t="s">
        <v>51</v>
      </c>
    </row>
    <row r="11" customFormat="false" ht="15" hidden="false" customHeight="false" outlineLevel="0" collapsed="false">
      <c r="A11" s="2" t="s">
        <v>52</v>
      </c>
      <c r="B11" s="3" t="s">
        <v>11</v>
      </c>
      <c r="C11" s="2" t="s">
        <v>42</v>
      </c>
      <c r="D11" s="3" t="s">
        <v>53</v>
      </c>
      <c r="E11" s="4" t="s">
        <v>14</v>
      </c>
      <c r="F11" s="3" t="s">
        <v>54</v>
      </c>
      <c r="G11" s="3" t="s">
        <v>55</v>
      </c>
      <c r="H11" s="3" t="s">
        <v>56</v>
      </c>
      <c r="I11" s="2" t="n">
        <v>200</v>
      </c>
      <c r="J11" s="3" t="s">
        <v>57</v>
      </c>
    </row>
    <row r="12" customFormat="false" ht="15" hidden="false" customHeight="false" outlineLevel="0" collapsed="false">
      <c r="A12" s="2" t="s">
        <v>58</v>
      </c>
      <c r="B12" s="3" t="s">
        <v>11</v>
      </c>
      <c r="C12" s="2" t="s">
        <v>42</v>
      </c>
      <c r="D12" s="3" t="s">
        <v>53</v>
      </c>
      <c r="E12" s="4" t="s">
        <v>14</v>
      </c>
      <c r="F12" s="3" t="s">
        <v>59</v>
      </c>
      <c r="G12" s="3" t="s">
        <v>55</v>
      </c>
      <c r="H12" s="3" t="s">
        <v>60</v>
      </c>
      <c r="I12" s="2" t="n">
        <v>200</v>
      </c>
      <c r="J12" s="3" t="s">
        <v>61</v>
      </c>
    </row>
    <row r="13" customFormat="false" ht="15" hidden="false" customHeight="false" outlineLevel="0" collapsed="false">
      <c r="A13" s="2" t="s">
        <v>62</v>
      </c>
      <c r="B13" s="3" t="s">
        <v>11</v>
      </c>
      <c r="C13" s="2" t="s">
        <v>42</v>
      </c>
      <c r="D13" s="3" t="s">
        <v>53</v>
      </c>
      <c r="E13" s="4" t="s">
        <v>14</v>
      </c>
      <c r="F13" s="3" t="s">
        <v>63</v>
      </c>
      <c r="G13" s="3" t="s">
        <v>55</v>
      </c>
      <c r="H13" s="3" t="s">
        <v>64</v>
      </c>
      <c r="I13" s="2" t="n">
        <v>200</v>
      </c>
      <c r="J13" s="3" t="s">
        <v>65</v>
      </c>
    </row>
    <row r="14" customFormat="false" ht="15" hidden="false" customHeight="false" outlineLevel="0" collapsed="false">
      <c r="A14" s="2" t="s">
        <v>66</v>
      </c>
      <c r="B14" s="3" t="s">
        <v>11</v>
      </c>
      <c r="C14" s="2" t="s">
        <v>42</v>
      </c>
      <c r="D14" s="3" t="s">
        <v>53</v>
      </c>
      <c r="E14" s="5" t="s">
        <v>24</v>
      </c>
      <c r="F14" s="3" t="s">
        <v>67</v>
      </c>
      <c r="G14" s="3" t="s">
        <v>55</v>
      </c>
      <c r="H14" s="3" t="s">
        <v>68</v>
      </c>
      <c r="I14" s="2" t="n">
        <v>400</v>
      </c>
      <c r="J14" s="3" t="s">
        <v>69</v>
      </c>
    </row>
    <row r="15" customFormat="false" ht="15" hidden="false" customHeight="false" outlineLevel="0" collapsed="false">
      <c r="A15" s="2" t="s">
        <v>70</v>
      </c>
      <c r="B15" s="3" t="s">
        <v>11</v>
      </c>
      <c r="C15" s="2" t="s">
        <v>42</v>
      </c>
      <c r="D15" s="3" t="s">
        <v>71</v>
      </c>
      <c r="E15" s="4" t="s">
        <v>14</v>
      </c>
      <c r="F15" s="3" t="s">
        <v>72</v>
      </c>
      <c r="G15" s="3" t="s">
        <v>55</v>
      </c>
      <c r="H15" s="3" t="s">
        <v>73</v>
      </c>
      <c r="I15" s="2" t="n">
        <v>200</v>
      </c>
      <c r="J15" s="3" t="s">
        <v>74</v>
      </c>
    </row>
    <row r="16" customFormat="false" ht="23.85" hidden="false" customHeight="false" outlineLevel="0" collapsed="false">
      <c r="A16" s="2" t="s">
        <v>75</v>
      </c>
      <c r="B16" s="3" t="s">
        <v>11</v>
      </c>
      <c r="C16" s="2" t="s">
        <v>12</v>
      </c>
      <c r="D16" s="3" t="s">
        <v>43</v>
      </c>
      <c r="E16" s="4" t="s">
        <v>14</v>
      </c>
      <c r="F16" s="3" t="s">
        <v>76</v>
      </c>
      <c r="G16" s="3" t="s">
        <v>77</v>
      </c>
      <c r="H16" s="3" t="s">
        <v>78</v>
      </c>
      <c r="I16" s="2" t="n">
        <v>200</v>
      </c>
      <c r="J16" s="3" t="s">
        <v>79</v>
      </c>
    </row>
    <row r="17" customFormat="false" ht="15" hidden="false" customHeight="false" outlineLevel="0" collapsed="false">
      <c r="A17" s="2" t="s">
        <v>80</v>
      </c>
      <c r="B17" s="3" t="s">
        <v>11</v>
      </c>
      <c r="C17" s="2" t="s">
        <v>81</v>
      </c>
      <c r="D17" s="3" t="s">
        <v>43</v>
      </c>
      <c r="E17" s="4" t="s">
        <v>14</v>
      </c>
      <c r="F17" s="3" t="s">
        <v>82</v>
      </c>
      <c r="G17" s="3" t="s">
        <v>83</v>
      </c>
      <c r="H17" s="3" t="s">
        <v>45</v>
      </c>
      <c r="I17" s="2" t="n">
        <v>200</v>
      </c>
      <c r="J17" s="3" t="s">
        <v>84</v>
      </c>
    </row>
    <row r="18" customFormat="false" ht="15" hidden="false" customHeight="false" outlineLevel="0" collapsed="false">
      <c r="A18" s="2" t="s">
        <v>85</v>
      </c>
      <c r="B18" s="3" t="s">
        <v>11</v>
      </c>
      <c r="C18" s="2" t="s">
        <v>81</v>
      </c>
      <c r="D18" s="3" t="s">
        <v>43</v>
      </c>
      <c r="E18" s="5" t="s">
        <v>24</v>
      </c>
      <c r="F18" s="3" t="s">
        <v>86</v>
      </c>
      <c r="G18" s="3" t="s">
        <v>83</v>
      </c>
      <c r="H18" s="3" t="s">
        <v>45</v>
      </c>
      <c r="I18" s="2" t="n">
        <v>404</v>
      </c>
      <c r="J18" s="3" t="s">
        <v>40</v>
      </c>
    </row>
    <row r="19" customFormat="false" ht="23.85" hidden="false" customHeight="false" outlineLevel="0" collapsed="false">
      <c r="A19" s="2" t="s">
        <v>87</v>
      </c>
      <c r="B19" s="3" t="s">
        <v>11</v>
      </c>
      <c r="C19" s="2" t="s">
        <v>12</v>
      </c>
      <c r="D19" s="3" t="s">
        <v>88</v>
      </c>
      <c r="E19" s="4" t="s">
        <v>14</v>
      </c>
      <c r="F19" s="3" t="s">
        <v>89</v>
      </c>
      <c r="G19" s="3" t="s">
        <v>90</v>
      </c>
      <c r="H19" s="3" t="s">
        <v>91</v>
      </c>
      <c r="I19" s="2" t="n">
        <v>200</v>
      </c>
      <c r="J19" s="3" t="s">
        <v>92</v>
      </c>
    </row>
    <row r="20" customFormat="false" ht="23.85" hidden="false" customHeight="false" outlineLevel="0" collapsed="false">
      <c r="A20" s="2" t="s">
        <v>93</v>
      </c>
      <c r="B20" s="3" t="s">
        <v>94</v>
      </c>
      <c r="C20" s="2" t="s">
        <v>12</v>
      </c>
      <c r="D20" s="3" t="s">
        <v>95</v>
      </c>
      <c r="E20" s="4" t="s">
        <v>14</v>
      </c>
      <c r="F20" s="3" t="s">
        <v>96</v>
      </c>
      <c r="G20" s="3" t="s">
        <v>16</v>
      </c>
      <c r="H20" s="3" t="s">
        <v>97</v>
      </c>
      <c r="I20" s="2" t="n">
        <v>200</v>
      </c>
      <c r="J20" s="3" t="s">
        <v>98</v>
      </c>
    </row>
    <row r="21" customFormat="false" ht="15" hidden="false" customHeight="false" outlineLevel="0" collapsed="false">
      <c r="A21" s="2" t="s">
        <v>99</v>
      </c>
      <c r="B21" s="3" t="s">
        <v>94</v>
      </c>
      <c r="C21" s="2" t="s">
        <v>12</v>
      </c>
      <c r="D21" s="3" t="s">
        <v>95</v>
      </c>
      <c r="E21" s="5" t="s">
        <v>24</v>
      </c>
      <c r="F21" s="3" t="s">
        <v>100</v>
      </c>
      <c r="G21" s="3" t="s">
        <v>16</v>
      </c>
      <c r="H21" s="3" t="s">
        <v>101</v>
      </c>
      <c r="I21" s="2" t="n">
        <v>400</v>
      </c>
      <c r="J21" s="3" t="s">
        <v>102</v>
      </c>
    </row>
    <row r="22" customFormat="false" ht="15" hidden="false" customHeight="false" outlineLevel="0" collapsed="false">
      <c r="A22" s="2" t="s">
        <v>103</v>
      </c>
      <c r="B22" s="3" t="s">
        <v>94</v>
      </c>
      <c r="C22" s="2" t="s">
        <v>42</v>
      </c>
      <c r="D22" s="3" t="s">
        <v>104</v>
      </c>
      <c r="E22" s="4" t="s">
        <v>14</v>
      </c>
      <c r="F22" s="3" t="s">
        <v>105</v>
      </c>
      <c r="G22" s="3" t="s">
        <v>45</v>
      </c>
      <c r="H22" s="3" t="s">
        <v>45</v>
      </c>
      <c r="I22" s="2" t="n">
        <v>200</v>
      </c>
      <c r="J22" s="3" t="s">
        <v>106</v>
      </c>
    </row>
    <row r="23" customFormat="false" ht="15" hidden="false" customHeight="false" outlineLevel="0" collapsed="false">
      <c r="A23" s="2" t="s">
        <v>107</v>
      </c>
      <c r="B23" s="3" t="s">
        <v>94</v>
      </c>
      <c r="C23" s="2" t="s">
        <v>42</v>
      </c>
      <c r="D23" s="3" t="s">
        <v>104</v>
      </c>
      <c r="E23" s="5" t="s">
        <v>24</v>
      </c>
      <c r="F23" s="3" t="s">
        <v>108</v>
      </c>
      <c r="G23" s="3" t="s">
        <v>45</v>
      </c>
      <c r="H23" s="3" t="s">
        <v>45</v>
      </c>
      <c r="I23" s="2" t="n">
        <v>404</v>
      </c>
      <c r="J23" s="3" t="s">
        <v>109</v>
      </c>
    </row>
    <row r="24" customFormat="false" ht="15" hidden="false" customHeight="false" outlineLevel="0" collapsed="false">
      <c r="A24" s="2" t="s">
        <v>110</v>
      </c>
      <c r="B24" s="3" t="s">
        <v>94</v>
      </c>
      <c r="C24" s="2" t="s">
        <v>42</v>
      </c>
      <c r="D24" s="3" t="s">
        <v>104</v>
      </c>
      <c r="E24" s="5" t="s">
        <v>24</v>
      </c>
      <c r="F24" s="3" t="s">
        <v>111</v>
      </c>
      <c r="G24" s="3" t="s">
        <v>45</v>
      </c>
      <c r="H24" s="3" t="s">
        <v>45</v>
      </c>
      <c r="I24" s="2" t="n">
        <v>400</v>
      </c>
      <c r="J24" s="3" t="s">
        <v>51</v>
      </c>
    </row>
    <row r="25" customFormat="false" ht="15" hidden="false" customHeight="false" outlineLevel="0" collapsed="false">
      <c r="A25" s="2" t="s">
        <v>112</v>
      </c>
      <c r="B25" s="3" t="s">
        <v>94</v>
      </c>
      <c r="C25" s="2" t="s">
        <v>81</v>
      </c>
      <c r="D25" s="3" t="s">
        <v>104</v>
      </c>
      <c r="E25" s="4" t="s">
        <v>14</v>
      </c>
      <c r="F25" s="3" t="s">
        <v>113</v>
      </c>
      <c r="G25" s="3" t="s">
        <v>45</v>
      </c>
      <c r="H25" s="3" t="s">
        <v>45</v>
      </c>
      <c r="I25" s="2" t="n">
        <v>200</v>
      </c>
      <c r="J25" s="3" t="s">
        <v>114</v>
      </c>
    </row>
    <row r="26" customFormat="false" ht="15" hidden="false" customHeight="false" outlineLevel="0" collapsed="false">
      <c r="A26" s="2" t="s">
        <v>115</v>
      </c>
      <c r="B26" s="3" t="s">
        <v>94</v>
      </c>
      <c r="C26" s="2" t="s">
        <v>81</v>
      </c>
      <c r="D26" s="3" t="s">
        <v>104</v>
      </c>
      <c r="E26" s="5" t="s">
        <v>24</v>
      </c>
      <c r="F26" s="3" t="s">
        <v>116</v>
      </c>
      <c r="G26" s="3" t="s">
        <v>45</v>
      </c>
      <c r="H26" s="3" t="s">
        <v>45</v>
      </c>
      <c r="I26" s="2" t="n">
        <v>404</v>
      </c>
      <c r="J26" s="3" t="s">
        <v>109</v>
      </c>
    </row>
    <row r="27" customFormat="false" ht="15" hidden="false" customHeight="false" outlineLevel="0" collapsed="false">
      <c r="A27" s="2" t="s">
        <v>117</v>
      </c>
      <c r="B27" s="3" t="s">
        <v>94</v>
      </c>
      <c r="C27" s="2" t="s">
        <v>42</v>
      </c>
      <c r="D27" s="3" t="s">
        <v>118</v>
      </c>
      <c r="E27" s="4" t="s">
        <v>14</v>
      </c>
      <c r="F27" s="3" t="s">
        <v>119</v>
      </c>
      <c r="G27" s="3" t="s">
        <v>55</v>
      </c>
      <c r="H27" s="3" t="s">
        <v>45</v>
      </c>
      <c r="I27" s="2" t="n">
        <v>200</v>
      </c>
      <c r="J27" s="3" t="s">
        <v>120</v>
      </c>
    </row>
    <row r="28" customFormat="false" ht="46.25" hidden="false" customHeight="false" outlineLevel="0" collapsed="false">
      <c r="A28" s="2" t="s">
        <v>121</v>
      </c>
      <c r="B28" s="3" t="s">
        <v>122</v>
      </c>
      <c r="C28" s="2" t="s">
        <v>12</v>
      </c>
      <c r="D28" s="3" t="s">
        <v>123</v>
      </c>
      <c r="E28" s="4" t="s">
        <v>14</v>
      </c>
      <c r="F28" s="3" t="s">
        <v>124</v>
      </c>
      <c r="G28" s="3" t="s">
        <v>16</v>
      </c>
      <c r="H28" s="3" t="s">
        <v>125</v>
      </c>
      <c r="I28" s="2" t="n">
        <v>200</v>
      </c>
      <c r="J28" s="3" t="s">
        <v>126</v>
      </c>
    </row>
    <row r="29" customFormat="false" ht="35.05" hidden="false" customHeight="false" outlineLevel="0" collapsed="false">
      <c r="A29" s="2" t="s">
        <v>127</v>
      </c>
      <c r="B29" s="3" t="s">
        <v>122</v>
      </c>
      <c r="C29" s="2" t="s">
        <v>12</v>
      </c>
      <c r="D29" s="3" t="s">
        <v>128</v>
      </c>
      <c r="E29" s="4" t="s">
        <v>14</v>
      </c>
      <c r="F29" s="3" t="s">
        <v>129</v>
      </c>
      <c r="G29" s="3" t="s">
        <v>16</v>
      </c>
      <c r="H29" s="3" t="s">
        <v>130</v>
      </c>
      <c r="I29" s="2" t="n">
        <v>200</v>
      </c>
      <c r="J29" s="3" t="s">
        <v>131</v>
      </c>
    </row>
    <row r="30" customFormat="false" ht="35.05" hidden="false" customHeight="false" outlineLevel="0" collapsed="false">
      <c r="A30" s="2" t="s">
        <v>132</v>
      </c>
      <c r="B30" s="3" t="s">
        <v>122</v>
      </c>
      <c r="C30" s="2" t="s">
        <v>12</v>
      </c>
      <c r="D30" s="3" t="s">
        <v>133</v>
      </c>
      <c r="E30" s="4" t="s">
        <v>14</v>
      </c>
      <c r="F30" s="3" t="s">
        <v>134</v>
      </c>
      <c r="G30" s="3" t="s">
        <v>16</v>
      </c>
      <c r="H30" s="3" t="s">
        <v>135</v>
      </c>
      <c r="I30" s="2" t="n">
        <v>200</v>
      </c>
      <c r="J30" s="3" t="s">
        <v>131</v>
      </c>
    </row>
    <row r="31" customFormat="false" ht="23.85" hidden="false" customHeight="false" outlineLevel="0" collapsed="false">
      <c r="A31" s="2" t="s">
        <v>136</v>
      </c>
      <c r="B31" s="3" t="s">
        <v>122</v>
      </c>
      <c r="C31" s="2" t="s">
        <v>42</v>
      </c>
      <c r="D31" s="3" t="s">
        <v>137</v>
      </c>
      <c r="E31" s="4" t="s">
        <v>14</v>
      </c>
      <c r="F31" s="3" t="s">
        <v>138</v>
      </c>
      <c r="G31" s="3" t="s">
        <v>55</v>
      </c>
      <c r="H31" s="3" t="s">
        <v>139</v>
      </c>
      <c r="I31" s="2" t="n">
        <v>200</v>
      </c>
      <c r="J31" s="3" t="s">
        <v>140</v>
      </c>
    </row>
    <row r="32" customFormat="false" ht="15" hidden="false" customHeight="false" outlineLevel="0" collapsed="false">
      <c r="A32" s="2" t="s">
        <v>141</v>
      </c>
      <c r="B32" s="3" t="s">
        <v>122</v>
      </c>
      <c r="C32" s="2" t="s">
        <v>42</v>
      </c>
      <c r="D32" s="3" t="s">
        <v>137</v>
      </c>
      <c r="E32" s="5" t="s">
        <v>24</v>
      </c>
      <c r="F32" s="3" t="s">
        <v>142</v>
      </c>
      <c r="G32" s="3" t="s">
        <v>55</v>
      </c>
      <c r="H32" s="3" t="s">
        <v>143</v>
      </c>
      <c r="I32" s="2" t="n">
        <v>400</v>
      </c>
      <c r="J32" s="3" t="s">
        <v>144</v>
      </c>
    </row>
    <row r="33" customFormat="false" ht="15" hidden="false" customHeight="false" outlineLevel="0" collapsed="false">
      <c r="A33" s="2" t="s">
        <v>145</v>
      </c>
      <c r="B33" s="3" t="s">
        <v>122</v>
      </c>
      <c r="C33" s="2" t="s">
        <v>42</v>
      </c>
      <c r="D33" s="3" t="s">
        <v>146</v>
      </c>
      <c r="E33" s="4" t="s">
        <v>14</v>
      </c>
      <c r="F33" s="3" t="s">
        <v>147</v>
      </c>
      <c r="G33" s="3" t="s">
        <v>45</v>
      </c>
      <c r="H33" s="3" t="s">
        <v>45</v>
      </c>
      <c r="I33" s="2" t="n">
        <v>200</v>
      </c>
      <c r="J33" s="3" t="s">
        <v>148</v>
      </c>
    </row>
    <row r="34" customFormat="false" ht="15" hidden="false" customHeight="false" outlineLevel="0" collapsed="false">
      <c r="A34" s="2" t="s">
        <v>149</v>
      </c>
      <c r="B34" s="3" t="s">
        <v>122</v>
      </c>
      <c r="C34" s="2" t="s">
        <v>42</v>
      </c>
      <c r="D34" s="3" t="s">
        <v>150</v>
      </c>
      <c r="E34" s="4" t="s">
        <v>14</v>
      </c>
      <c r="F34" s="3" t="s">
        <v>151</v>
      </c>
      <c r="G34" s="3" t="s">
        <v>45</v>
      </c>
      <c r="H34" s="3" t="s">
        <v>45</v>
      </c>
      <c r="I34" s="2" t="n">
        <v>200</v>
      </c>
      <c r="J34" s="3" t="s">
        <v>152</v>
      </c>
    </row>
    <row r="35" customFormat="false" ht="15" hidden="false" customHeight="false" outlineLevel="0" collapsed="false">
      <c r="A35" s="2" t="s">
        <v>153</v>
      </c>
      <c r="B35" s="3" t="s">
        <v>122</v>
      </c>
      <c r="C35" s="2" t="s">
        <v>42</v>
      </c>
      <c r="D35" s="3" t="s">
        <v>150</v>
      </c>
      <c r="E35" s="5" t="s">
        <v>24</v>
      </c>
      <c r="F35" s="3" t="s">
        <v>154</v>
      </c>
      <c r="G35" s="3" t="s">
        <v>45</v>
      </c>
      <c r="H35" s="3" t="s">
        <v>45</v>
      </c>
      <c r="I35" s="2" t="n">
        <v>404</v>
      </c>
      <c r="J35" s="3" t="s">
        <v>155</v>
      </c>
    </row>
    <row r="36" customFormat="false" ht="23.85" hidden="false" customHeight="false" outlineLevel="0" collapsed="false">
      <c r="A36" s="2" t="s">
        <v>156</v>
      </c>
      <c r="B36" s="3" t="s">
        <v>122</v>
      </c>
      <c r="C36" s="2" t="s">
        <v>33</v>
      </c>
      <c r="D36" s="3" t="s">
        <v>150</v>
      </c>
      <c r="E36" s="4" t="s">
        <v>14</v>
      </c>
      <c r="F36" s="3" t="s">
        <v>157</v>
      </c>
      <c r="G36" s="3" t="s">
        <v>16</v>
      </c>
      <c r="H36" s="3" t="s">
        <v>158</v>
      </c>
      <c r="I36" s="2" t="n">
        <v>200</v>
      </c>
      <c r="J36" s="3" t="s">
        <v>159</v>
      </c>
    </row>
    <row r="37" customFormat="false" ht="15" hidden="false" customHeight="false" outlineLevel="0" collapsed="false">
      <c r="A37" s="2" t="s">
        <v>160</v>
      </c>
      <c r="B37" s="3" t="s">
        <v>122</v>
      </c>
      <c r="C37" s="2" t="s">
        <v>33</v>
      </c>
      <c r="D37" s="3" t="s">
        <v>150</v>
      </c>
      <c r="E37" s="5" t="s">
        <v>24</v>
      </c>
      <c r="F37" s="3" t="s">
        <v>161</v>
      </c>
      <c r="G37" s="3" t="s">
        <v>16</v>
      </c>
      <c r="H37" s="3" t="s">
        <v>162</v>
      </c>
      <c r="I37" s="2" t="n">
        <v>404</v>
      </c>
      <c r="J37" s="3" t="s">
        <v>155</v>
      </c>
    </row>
    <row r="38" customFormat="false" ht="15" hidden="false" customHeight="false" outlineLevel="0" collapsed="false">
      <c r="A38" s="2" t="s">
        <v>163</v>
      </c>
      <c r="B38" s="3" t="s">
        <v>122</v>
      </c>
      <c r="C38" s="2" t="s">
        <v>81</v>
      </c>
      <c r="D38" s="3" t="s">
        <v>150</v>
      </c>
      <c r="E38" s="4" t="s">
        <v>14</v>
      </c>
      <c r="F38" s="3" t="s">
        <v>164</v>
      </c>
      <c r="G38" s="3" t="s">
        <v>45</v>
      </c>
      <c r="H38" s="3" t="s">
        <v>45</v>
      </c>
      <c r="I38" s="2" t="n">
        <v>200</v>
      </c>
      <c r="J38" s="3" t="s">
        <v>165</v>
      </c>
    </row>
    <row r="39" customFormat="false" ht="15" hidden="false" customHeight="false" outlineLevel="0" collapsed="false">
      <c r="A39" s="2" t="s">
        <v>166</v>
      </c>
      <c r="B39" s="3" t="s">
        <v>122</v>
      </c>
      <c r="C39" s="2" t="s">
        <v>81</v>
      </c>
      <c r="D39" s="3" t="s">
        <v>150</v>
      </c>
      <c r="E39" s="5" t="s">
        <v>24</v>
      </c>
      <c r="F39" s="3" t="s">
        <v>167</v>
      </c>
      <c r="G39" s="3" t="s">
        <v>45</v>
      </c>
      <c r="H39" s="3" t="s">
        <v>45</v>
      </c>
      <c r="I39" s="2" t="n">
        <v>404</v>
      </c>
      <c r="J39" s="3" t="s">
        <v>155</v>
      </c>
    </row>
    <row r="41" customFormat="false" ht="15" hidden="false" customHeight="false" outlineLevel="0" collapsed="false">
      <c r="A41" s="6" t="s">
        <v>168</v>
      </c>
    </row>
  </sheetData>
  <autoFilter ref="A1:J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7" t="s">
        <v>169</v>
      </c>
      <c r="B1" s="7" t="s">
        <v>14</v>
      </c>
      <c r="C1" s="7" t="s">
        <v>24</v>
      </c>
      <c r="D1" s="7" t="s">
        <v>170</v>
      </c>
    </row>
    <row r="2" customFormat="false" ht="15" hidden="false" customHeight="false" outlineLevel="0" collapsed="false">
      <c r="A2" s="8" t="s">
        <v>11</v>
      </c>
      <c r="B2" s="9" t="n">
        <f aca="false">COUNTIFS('Test Cases'!$B$2:$B$39,$A2,'Test Cases'!$E$2:$E$39,"Positive")</f>
        <v>11</v>
      </c>
      <c r="C2" s="9" t="n">
        <f aca="false">COUNTIFS('Test Cases'!$B$2:$B$39,$A2,'Test Cases'!$E$2:$E$39,"Negative")</f>
        <v>7</v>
      </c>
      <c r="D2" s="9" t="n">
        <f aca="false">B2+C2</f>
        <v>18</v>
      </c>
    </row>
    <row r="3" customFormat="false" ht="15" hidden="false" customHeight="false" outlineLevel="0" collapsed="false">
      <c r="A3" s="8" t="s">
        <v>94</v>
      </c>
      <c r="B3" s="9" t="n">
        <f aca="false">COUNTIFS('Test Cases'!$B$2:$B$39,$A3,'Test Cases'!$E$2:$E$39,"Positive")</f>
        <v>4</v>
      </c>
      <c r="C3" s="9" t="n">
        <f aca="false">COUNTIFS('Test Cases'!$B$2:$B$39,$A3,'Test Cases'!$E$2:$E$39,"Negative")</f>
        <v>4</v>
      </c>
      <c r="D3" s="9" t="n">
        <f aca="false">B3+C3</f>
        <v>8</v>
      </c>
    </row>
    <row r="4" customFormat="false" ht="15" hidden="false" customHeight="false" outlineLevel="0" collapsed="false">
      <c r="A4" s="8" t="s">
        <v>122</v>
      </c>
      <c r="B4" s="9" t="n">
        <f aca="false">COUNTIFS('Test Cases'!$B$2:$B$39,$A4,'Test Cases'!$E$2:$E$39,"Positive")</f>
        <v>8</v>
      </c>
      <c r="C4" s="9" t="n">
        <f aca="false">COUNTIFS('Test Cases'!$B$2:$B$39,$A4,'Test Cases'!$E$2:$E$39,"Negative")</f>
        <v>4</v>
      </c>
      <c r="D4" s="9" t="n">
        <f aca="false">B4+C4</f>
        <v>12</v>
      </c>
    </row>
    <row r="5" customFormat="false" ht="15" hidden="false" customHeight="false" outlineLevel="0" collapsed="false">
      <c r="A5" s="10" t="s">
        <v>170</v>
      </c>
      <c r="B5" s="11" t="n">
        <f aca="false">SUM(B2:B4)</f>
        <v>23</v>
      </c>
      <c r="C5" s="11" t="n">
        <f aca="false">SUM(C2:C4)</f>
        <v>15</v>
      </c>
      <c r="D5" s="11" t="n">
        <f aca="false">SUM(D2:D4)</f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2026-10-19T14:07:20Z</dcterms:created>
  <dc:creator>openpyxl</dc:creator>
  <dc:description/>
  <dc:language>en-US</dc:language>
  <cp:lastModifiedBy/>
  <dcterms:modified xsi:type="dcterms:W3CDTF">2026-10-19T14:07:20Z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